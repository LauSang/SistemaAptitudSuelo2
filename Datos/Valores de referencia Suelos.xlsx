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1835" activeTab="3"/>
  </bookViews>
  <sheets>
    <sheet name="MO" sheetId="1" r:id="rId1"/>
    <sheet name="pH" sheetId="2" r:id="rId2"/>
    <sheet name="Salinidad" sheetId="3" r:id="rId3"/>
    <sheet name="FÓSFORO" sheetId="4" r:id="rId4"/>
  </sheets>
  <calcPr calcId="145621"/>
</workbook>
</file>

<file path=xl/calcChain.xml><?xml version="1.0" encoding="utf-8"?>
<calcChain xmlns="http://schemas.openxmlformats.org/spreadsheetml/2006/main">
  <c r="C4" i="4" l="1"/>
  <c r="B4" i="4"/>
  <c r="F3" i="3"/>
  <c r="E3" i="3"/>
  <c r="D3" i="3"/>
  <c r="C3" i="3"/>
  <c r="B3" i="3"/>
</calcChain>
</file>

<file path=xl/sharedStrings.xml><?xml version="1.0" encoding="utf-8"?>
<sst xmlns="http://schemas.openxmlformats.org/spreadsheetml/2006/main" count="93" uniqueCount="81">
  <si>
    <t>Variable</t>
  </si>
  <si>
    <t>Baja</t>
  </si>
  <si>
    <t>&lt;2</t>
  </si>
  <si>
    <t>Materia Orgánica (%)</t>
  </si>
  <si>
    <t>Media</t>
  </si>
  <si>
    <t>&lt;1,8</t>
  </si>
  <si>
    <t>1,8-2,2</t>
  </si>
  <si>
    <t>Alta</t>
  </si>
  <si>
    <t>&gt;2,2</t>
  </si>
  <si>
    <t>Denominación</t>
  </si>
  <si>
    <t>Rango de pH</t>
  </si>
  <si>
    <t>Ultra ácido</t>
  </si>
  <si>
    <t>&lt; 3.5</t>
  </si>
  <si>
    <t>Extremadamente ácido</t>
  </si>
  <si>
    <t>3.5–4.4</t>
  </si>
  <si>
    <t>Muy fuertemente ácido</t>
  </si>
  <si>
    <t>4.5–5.0</t>
  </si>
  <si>
    <t>Fuertemente ácido</t>
  </si>
  <si>
    <t>5.1–5.5</t>
  </si>
  <si>
    <t>Moderadamente ácido</t>
  </si>
  <si>
    <t>5.6–6.0</t>
  </si>
  <si>
    <t>Ligeramente ácido</t>
  </si>
  <si>
    <t>6.1–6.5</t>
  </si>
  <si>
    <t>Neutro</t>
  </si>
  <si>
    <t>6.6–7.3</t>
  </si>
  <si>
    <t>Ligeramente alcalino</t>
  </si>
  <si>
    <t>7.4–7.8</t>
  </si>
  <si>
    <t>Moderadamente alcalino</t>
  </si>
  <si>
    <t>7.9–8.4</t>
  </si>
  <si>
    <t>Fuertemente alcalino</t>
  </si>
  <si>
    <t>8.5–9.0</t>
  </si>
  <si>
    <t>Muy fuertemente alcalino</t>
  </si>
  <si>
    <t>&gt; 9.0</t>
  </si>
  <si>
    <t>pH para todos los cultivos</t>
  </si>
  <si>
    <t>Soja</t>
  </si>
  <si>
    <t>OK</t>
  </si>
  <si>
    <t>CE/Cultivo</t>
  </si>
  <si>
    <t>CE</t>
  </si>
  <si>
    <t>conductividad electrica (dS/m)</t>
  </si>
  <si>
    <t>&gt;4</t>
  </si>
  <si>
    <t>Con limitaciones</t>
  </si>
  <si>
    <t>NO Apto</t>
  </si>
  <si>
    <t>Maíz</t>
  </si>
  <si>
    <t>&lt;1,5</t>
  </si>
  <si>
    <t>&gt;2,5</t>
  </si>
  <si>
    <t>Trigo</t>
  </si>
  <si>
    <t>&lt;4</t>
  </si>
  <si>
    <t>&gt;6</t>
  </si>
  <si>
    <t>Caña de azúcar</t>
  </si>
  <si>
    <t>&lt;1,7</t>
  </si>
  <si>
    <t>&gt;2</t>
  </si>
  <si>
    <t>Citrus Limon</t>
  </si>
  <si>
    <t>&gt;3</t>
  </si>
  <si>
    <t>OK con algunas limitacione</t>
  </si>
  <si>
    <t>ENCALAR</t>
  </si>
  <si>
    <t>RECUPERAR</t>
  </si>
  <si>
    <t>MO PARA TODOS LOS CULTIVOS</t>
  </si>
  <si>
    <t>BAJO</t>
  </si>
  <si>
    <t>&lt;8</t>
  </si>
  <si>
    <t>MEDIO</t>
  </si>
  <si>
    <t>MEDIO-ALTO</t>
  </si>
  <si>
    <t>13-20</t>
  </si>
  <si>
    <t>ALTO</t>
  </si>
  <si>
    <t>&lt;20</t>
  </si>
  <si>
    <t>MAÍZ</t>
  </si>
  <si>
    <t>&lt;12</t>
  </si>
  <si>
    <t>15-20</t>
  </si>
  <si>
    <t>&gt;20</t>
  </si>
  <si>
    <t>TRIGO</t>
  </si>
  <si>
    <t>&lt;15</t>
  </si>
  <si>
    <t>20-25</t>
  </si>
  <si>
    <t>&gt;25</t>
  </si>
  <si>
    <t>CITRUS</t>
  </si>
  <si>
    <t>20-30</t>
  </si>
  <si>
    <t>30-40</t>
  </si>
  <si>
    <t>&gt;40</t>
  </si>
  <si>
    <t>CAÑA</t>
  </si>
  <si>
    <t>&lt;13</t>
  </si>
  <si>
    <t>13-25</t>
  </si>
  <si>
    <t>25-50</t>
  </si>
  <si>
    <t>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</si>
</sst>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baseColWidth="10" defaultRowHeight="15" x14ac:dyDescent="0.25"/>
  <cols>
    <col min="1" max="1" width="22.285156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7</v>
      </c>
      <c r="E1" t="s">
        <v>56</v>
      </c>
    </row>
    <row r="2" spans="1:5" x14ac:dyDescent="0.25">
      <c r="A2" t="s">
        <v>3</v>
      </c>
      <c r="B2" t="s">
        <v>5</v>
      </c>
      <c r="C2" t="s">
        <v>6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3" sqref="C3"/>
    </sheetView>
  </sheetViews>
  <sheetFormatPr baseColWidth="10" defaultRowHeight="15" x14ac:dyDescent="0.25"/>
  <sheetData>
    <row r="1" spans="1:5" ht="30.75" thickBot="1" x14ac:dyDescent="0.3">
      <c r="A1" s="1" t="s">
        <v>9</v>
      </c>
      <c r="B1" s="1" t="s">
        <v>10</v>
      </c>
      <c r="E1" t="s">
        <v>33</v>
      </c>
    </row>
    <row r="2" spans="1:5" ht="15.75" thickBot="1" x14ac:dyDescent="0.3">
      <c r="A2" s="2" t="s">
        <v>11</v>
      </c>
      <c r="B2" s="2" t="s">
        <v>12</v>
      </c>
      <c r="C2" t="s">
        <v>54</v>
      </c>
    </row>
    <row r="3" spans="1:5" ht="43.5" thickBot="1" x14ac:dyDescent="0.3">
      <c r="A3" s="2" t="s">
        <v>13</v>
      </c>
      <c r="B3" s="2" t="s">
        <v>14</v>
      </c>
      <c r="C3" t="s">
        <v>54</v>
      </c>
    </row>
    <row r="4" spans="1:5" ht="43.5" thickBot="1" x14ac:dyDescent="0.3">
      <c r="A4" s="2" t="s">
        <v>15</v>
      </c>
      <c r="B4" s="2" t="s">
        <v>16</v>
      </c>
      <c r="C4" t="s">
        <v>54</v>
      </c>
    </row>
    <row r="5" spans="1:5" ht="45.75" thickBot="1" x14ac:dyDescent="0.3">
      <c r="A5" s="2" t="s">
        <v>17</v>
      </c>
      <c r="B5" s="2" t="s">
        <v>18</v>
      </c>
      <c r="C5" s="3" t="s">
        <v>53</v>
      </c>
    </row>
    <row r="6" spans="1:5" ht="43.5" thickBot="1" x14ac:dyDescent="0.3">
      <c r="A6" s="2" t="s">
        <v>19</v>
      </c>
      <c r="B6" s="2" t="s">
        <v>20</v>
      </c>
      <c r="C6" s="3" t="s">
        <v>35</v>
      </c>
    </row>
    <row r="7" spans="1:5" ht="29.25" thickBot="1" x14ac:dyDescent="0.3">
      <c r="A7" s="2" t="s">
        <v>21</v>
      </c>
      <c r="B7" s="2" t="s">
        <v>22</v>
      </c>
      <c r="C7" t="s">
        <v>35</v>
      </c>
    </row>
    <row r="8" spans="1:5" ht="15.75" thickBot="1" x14ac:dyDescent="0.3">
      <c r="A8" s="2" t="s">
        <v>23</v>
      </c>
      <c r="B8" s="2" t="s">
        <v>24</v>
      </c>
      <c r="C8" t="s">
        <v>35</v>
      </c>
    </row>
    <row r="9" spans="1:5" ht="29.25" thickBot="1" x14ac:dyDescent="0.3">
      <c r="A9" s="2" t="s">
        <v>25</v>
      </c>
      <c r="B9" s="2" t="s">
        <v>26</v>
      </c>
      <c r="C9" t="s">
        <v>35</v>
      </c>
    </row>
    <row r="10" spans="1:5" ht="45.75" thickBot="1" x14ac:dyDescent="0.3">
      <c r="A10" s="2" t="s">
        <v>27</v>
      </c>
      <c r="B10" s="2" t="s">
        <v>28</v>
      </c>
      <c r="C10" s="3" t="s">
        <v>53</v>
      </c>
    </row>
    <row r="11" spans="1:5" ht="29.25" thickBot="1" x14ac:dyDescent="0.3">
      <c r="A11" s="2" t="s">
        <v>29</v>
      </c>
      <c r="B11" s="2" t="s">
        <v>30</v>
      </c>
      <c r="C11" t="s">
        <v>55</v>
      </c>
    </row>
    <row r="12" spans="1:5" ht="43.5" thickBot="1" x14ac:dyDescent="0.3">
      <c r="A12" s="2" t="s">
        <v>31</v>
      </c>
      <c r="B12" s="2" t="s">
        <v>32</v>
      </c>
      <c r="C1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31" sqref="B31"/>
    </sheetView>
  </sheetViews>
  <sheetFormatPr baseColWidth="10" defaultRowHeight="15" x14ac:dyDescent="0.25"/>
  <cols>
    <col min="2" max="2" width="7.28515625" customWidth="1"/>
    <col min="5" max="7" width="15.42578125" customWidth="1"/>
    <col min="8" max="8" width="7.42578125" customWidth="1"/>
  </cols>
  <sheetData>
    <row r="1" spans="1:9" x14ac:dyDescent="0.25">
      <c r="A1" t="s">
        <v>36</v>
      </c>
      <c r="B1" t="s">
        <v>34</v>
      </c>
      <c r="C1" t="s">
        <v>42</v>
      </c>
      <c r="D1" t="s">
        <v>45</v>
      </c>
      <c r="E1" t="s">
        <v>48</v>
      </c>
      <c r="F1" t="s">
        <v>51</v>
      </c>
      <c r="H1" t="s">
        <v>37</v>
      </c>
      <c r="I1" t="s">
        <v>38</v>
      </c>
    </row>
    <row r="2" spans="1:9" x14ac:dyDescent="0.25">
      <c r="A2" t="s">
        <v>35</v>
      </c>
      <c r="B2" t="s">
        <v>2</v>
      </c>
      <c r="C2" t="s">
        <v>43</v>
      </c>
      <c r="D2" t="s">
        <v>46</v>
      </c>
      <c r="E2" t="s">
        <v>49</v>
      </c>
      <c r="F2" t="s">
        <v>43</v>
      </c>
    </row>
    <row r="3" spans="1:9" x14ac:dyDescent="0.25">
      <c r="A3" t="s">
        <v>40</v>
      </c>
      <c r="B3" t="str">
        <f>"2-4"</f>
        <v>2-4</v>
      </c>
      <c r="C3" t="str">
        <f>"1,5-2,5"</f>
        <v>1,5-2,5</v>
      </c>
      <c r="D3" t="str">
        <f>"4-6"</f>
        <v>4-6</v>
      </c>
      <c r="E3" t="str">
        <f>"1,7-2"</f>
        <v>1,7-2</v>
      </c>
      <c r="F3" t="str">
        <f>"1,5-1,7"</f>
        <v>1,5-1,7</v>
      </c>
    </row>
    <row r="4" spans="1:9" x14ac:dyDescent="0.25">
      <c r="A4" t="s">
        <v>41</v>
      </c>
      <c r="B4" t="s">
        <v>39</v>
      </c>
      <c r="C4" t="s">
        <v>44</v>
      </c>
      <c r="D4" t="s">
        <v>47</v>
      </c>
      <c r="E4" t="s">
        <v>50</v>
      </c>
      <c r="F4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O30" sqref="O30"/>
    </sheetView>
  </sheetViews>
  <sheetFormatPr baseColWidth="10" defaultRowHeight="15" x14ac:dyDescent="0.25"/>
  <sheetData>
    <row r="1" spans="1:7" ht="15" customHeight="1" x14ac:dyDescent="0.25">
      <c r="B1" s="4" t="s">
        <v>34</v>
      </c>
      <c r="C1" s="4" t="s">
        <v>64</v>
      </c>
      <c r="D1" s="4" t="s">
        <v>68</v>
      </c>
      <c r="E1" s="4" t="s">
        <v>72</v>
      </c>
      <c r="F1" s="4" t="s">
        <v>76</v>
      </c>
      <c r="G1" s="4"/>
    </row>
    <row r="3" spans="1:7" x14ac:dyDescent="0.25">
      <c r="A3" t="s">
        <v>57</v>
      </c>
      <c r="B3" t="s">
        <v>58</v>
      </c>
      <c r="C3" t="s">
        <v>65</v>
      </c>
      <c r="D3" t="s">
        <v>69</v>
      </c>
      <c r="E3" t="s">
        <v>63</v>
      </c>
      <c r="F3" t="s">
        <v>77</v>
      </c>
    </row>
    <row r="4" spans="1:7" x14ac:dyDescent="0.25">
      <c r="A4" t="s">
        <v>59</v>
      </c>
      <c r="B4" t="str">
        <f>"8-13"</f>
        <v>8-13</v>
      </c>
      <c r="C4" s="5" t="str">
        <f>"12-15"</f>
        <v>12-15</v>
      </c>
      <c r="D4" t="s">
        <v>66</v>
      </c>
      <c r="E4" t="s">
        <v>73</v>
      </c>
      <c r="F4" t="s">
        <v>78</v>
      </c>
    </row>
    <row r="5" spans="1:7" x14ac:dyDescent="0.25">
      <c r="A5" t="s">
        <v>60</v>
      </c>
      <c r="B5" t="s">
        <v>61</v>
      </c>
      <c r="C5" t="s">
        <v>66</v>
      </c>
      <c r="D5" t="s">
        <v>70</v>
      </c>
      <c r="E5" t="s">
        <v>74</v>
      </c>
      <c r="F5" t="s">
        <v>79</v>
      </c>
    </row>
    <row r="6" spans="1:7" x14ac:dyDescent="0.25">
      <c r="A6" t="s">
        <v>62</v>
      </c>
      <c r="B6" t="s">
        <v>67</v>
      </c>
      <c r="C6" t="s">
        <v>67</v>
      </c>
      <c r="D6" t="s">
        <v>71</v>
      </c>
      <c r="E6" t="s">
        <v>75</v>
      </c>
      <c r="F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</vt:lpstr>
      <vt:lpstr>pH</vt:lpstr>
      <vt:lpstr>Salinidad</vt:lpstr>
      <vt:lpstr>FÓSFORO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Franciso Alberto Sosa</dc:creator>
  <cp:lastModifiedBy>Franciso Alberto Sosa</cp:lastModifiedBy>
  <dcterms:created xsi:type="dcterms:W3CDTF">2026-10-13T11:46:29Z</dcterms:created>
  <dcterms:modified xsi:type="dcterms:W3CDTF">2026-10-13T12:41:43Z</dcterms:modified>
</cp:coreProperties>
</file>